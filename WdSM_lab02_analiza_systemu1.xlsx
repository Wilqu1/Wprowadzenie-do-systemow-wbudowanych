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calcChain.xml><?xml version="1.0" encoding="utf-8"?>
<calcChain xmlns="http://schemas.openxmlformats.org/spreadsheetml/2006/main">
  <c r="G7" i="1"/>
  <c r="G5"/>
  <c r="M2"/>
  <c r="L2"/>
  <c r="K2"/>
  <c r="J2"/>
  <c r="H2"/>
  <c r="I2"/>
  <c r="C34"/>
  <c r="B34"/>
  <c r="G2"/>
</calcChain>
</file>

<file path=xl/sharedStrings.xml><?xml version="1.0" encoding="utf-8"?>
<sst xmlns="http://schemas.openxmlformats.org/spreadsheetml/2006/main" count="14" uniqueCount="14">
  <si>
    <t>Nr studenta</t>
  </si>
  <si>
    <t>czas przybycia</t>
  </si>
  <si>
    <t>czas obsługi</t>
  </si>
  <si>
    <t>liczba stanowisk obsługi r</t>
  </si>
  <si>
    <t>czas 
(w min.)</t>
  </si>
  <si>
    <t>l</t>
  </si>
  <si>
    <t>m</t>
  </si>
  <si>
    <t>r</t>
  </si>
  <si>
    <t>Q</t>
  </si>
  <si>
    <t>W</t>
  </si>
  <si>
    <t>P(n=0)</t>
  </si>
  <si>
    <t>liczba klientow:</t>
  </si>
  <si>
    <t>przybycia:</t>
  </si>
  <si>
    <t>obsługi: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</si>
</sst>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>
      <selection activeCell="J6" sqref="J6"/>
    </sheetView>
  </sheetViews>
  <sheetFormatPr defaultRowHeight="15"/>
  <cols>
    <col min="1" max="1" width="10.42578125" customWidth="1"/>
    <col min="4" max="4" width="14.42578125" customWidth="1"/>
    <col min="5" max="5" width="9.7109375" customWidth="1"/>
    <col min="8" max="8" width="9.28515625" bestFit="1" customWidth="1"/>
  </cols>
  <sheetData>
    <row r="1" spans="1:13" ht="48" customHeight="1">
      <c r="A1" s="1" t="s">
        <v>0</v>
      </c>
      <c r="B1" s="1" t="s">
        <v>1</v>
      </c>
      <c r="C1" s="1" t="s">
        <v>2</v>
      </c>
      <c r="D1" s="3"/>
      <c r="E1" s="1" t="s">
        <v>3</v>
      </c>
      <c r="F1" s="1"/>
      <c r="G1" s="1" t="s">
        <v>4</v>
      </c>
      <c r="H1" s="2" t="s">
        <v>5</v>
      </c>
      <c r="I1" s="2" t="s">
        <v>6</v>
      </c>
      <c r="J1" s="2" t="s">
        <v>7</v>
      </c>
      <c r="K1" s="1" t="s">
        <v>10</v>
      </c>
      <c r="L1" s="1" t="s">
        <v>8</v>
      </c>
      <c r="M1" s="1" t="s">
        <v>9</v>
      </c>
    </row>
    <row r="2" spans="1:13">
      <c r="A2">
        <v>1</v>
      </c>
      <c r="B2">
        <v>0</v>
      </c>
      <c r="C2">
        <v>40</v>
      </c>
      <c r="E2">
        <v>2</v>
      </c>
      <c r="G2">
        <f>1</f>
        <v>1</v>
      </c>
      <c r="H2">
        <f>32/(MAX(B2:B33)/60)</f>
        <v>34.909090909090914</v>
      </c>
      <c r="I2" s="4">
        <f>(D34/C34)*60</f>
        <v>25.6</v>
      </c>
      <c r="J2" s="4">
        <f>H2/(I2*E2)</f>
        <v>0.68181818181818188</v>
      </c>
      <c r="K2">
        <f>1 / ( (1) + (H2/I2) + ( (H2/I2)^$E$2 / (FACT($E$2) * (1-J2)) ) )</f>
        <v>0.18918918918918917</v>
      </c>
      <c r="L2">
        <f>(K2 * (H2/I2)^$E$2 * J2) / (FACT($E$2) * (1-J2)^2)</f>
        <v>1.1846261846261852</v>
      </c>
      <c r="M2" s="4">
        <f>(L2 / H2)*60</f>
        <v>2.0360762548262556</v>
      </c>
    </row>
    <row r="3" spans="1:13">
      <c r="A3">
        <v>2</v>
      </c>
      <c r="B3">
        <v>6</v>
      </c>
      <c r="C3">
        <v>60</v>
      </c>
      <c r="I3" s="4"/>
      <c r="J3" s="4"/>
      <c r="K3" s="4"/>
      <c r="L3" s="4"/>
      <c r="M3" s="4"/>
    </row>
    <row r="4" spans="1:13">
      <c r="A4">
        <v>3</v>
      </c>
      <c r="B4">
        <v>40</v>
      </c>
      <c r="C4">
        <v>65</v>
      </c>
      <c r="G4" t="s">
        <v>12</v>
      </c>
      <c r="I4" s="4"/>
      <c r="J4" s="4"/>
      <c r="K4" s="4"/>
      <c r="L4" s="4"/>
      <c r="M4" s="4"/>
    </row>
    <row r="5" spans="1:13">
      <c r="A5">
        <v>4</v>
      </c>
      <c r="B5">
        <v>30</v>
      </c>
      <c r="C5">
        <v>60</v>
      </c>
      <c r="G5">
        <f>MAX(B2:B33)/60</f>
        <v>0.91666666666666663</v>
      </c>
      <c r="I5" s="4"/>
      <c r="J5" s="4"/>
      <c r="K5" s="4"/>
      <c r="L5" s="4"/>
      <c r="M5" s="4"/>
    </row>
    <row r="6" spans="1:13">
      <c r="A6">
        <v>5</v>
      </c>
      <c r="B6">
        <v>50</v>
      </c>
      <c r="C6">
        <v>40</v>
      </c>
      <c r="G6" t="s">
        <v>13</v>
      </c>
      <c r="I6" s="4"/>
      <c r="J6" s="4"/>
      <c r="K6" s="4"/>
      <c r="L6" s="4"/>
      <c r="M6" s="4"/>
    </row>
    <row r="7" spans="1:13">
      <c r="A7">
        <v>6</v>
      </c>
      <c r="B7">
        <v>30</v>
      </c>
      <c r="C7">
        <v>55</v>
      </c>
      <c r="G7">
        <f>C34/60</f>
        <v>1.25</v>
      </c>
      <c r="I7" s="4"/>
      <c r="J7" s="4"/>
      <c r="K7" s="4"/>
      <c r="L7" s="4"/>
      <c r="M7" s="4"/>
    </row>
    <row r="8" spans="1:13">
      <c r="A8">
        <v>7</v>
      </c>
      <c r="B8">
        <v>25</v>
      </c>
      <c r="C8">
        <v>65</v>
      </c>
      <c r="I8" s="4"/>
      <c r="J8" s="4"/>
      <c r="K8" s="4"/>
      <c r="L8" s="4"/>
      <c r="M8" s="4"/>
    </row>
    <row r="9" spans="1:13">
      <c r="A9">
        <v>8</v>
      </c>
      <c r="B9">
        <v>5</v>
      </c>
      <c r="C9">
        <v>60</v>
      </c>
      <c r="I9" s="4"/>
      <c r="J9" s="4"/>
      <c r="K9" s="4"/>
      <c r="L9" s="4"/>
      <c r="M9" s="4"/>
    </row>
    <row r="10" spans="1:13">
      <c r="A10">
        <v>9</v>
      </c>
      <c r="B10">
        <v>15</v>
      </c>
      <c r="C10">
        <v>60</v>
      </c>
      <c r="I10" s="4"/>
      <c r="J10" s="4"/>
      <c r="K10" s="4"/>
      <c r="L10" s="4"/>
      <c r="M10" s="4"/>
    </row>
    <row r="11" spans="1:13">
      <c r="A11">
        <v>10</v>
      </c>
      <c r="B11">
        <v>15</v>
      </c>
      <c r="C11">
        <v>70</v>
      </c>
      <c r="I11" s="4"/>
      <c r="J11" s="4"/>
      <c r="K11" s="4"/>
      <c r="L11" s="4"/>
      <c r="M11" s="4"/>
    </row>
    <row r="12" spans="1:13">
      <c r="A12">
        <v>11</v>
      </c>
      <c r="B12">
        <v>10</v>
      </c>
      <c r="C12">
        <v>65</v>
      </c>
      <c r="I12" s="4"/>
      <c r="J12" s="4"/>
      <c r="K12" s="4"/>
      <c r="L12" s="4"/>
      <c r="M12" s="4"/>
    </row>
    <row r="13" spans="1:13">
      <c r="A13">
        <v>12</v>
      </c>
      <c r="B13">
        <v>30</v>
      </c>
      <c r="C13">
        <v>70</v>
      </c>
      <c r="I13" s="4"/>
      <c r="J13" s="4"/>
      <c r="K13" s="4"/>
      <c r="L13" s="4"/>
      <c r="M13" s="4"/>
    </row>
    <row r="14" spans="1:13">
      <c r="A14">
        <v>13</v>
      </c>
      <c r="B14">
        <v>40</v>
      </c>
      <c r="C14">
        <v>65</v>
      </c>
      <c r="I14" s="4"/>
      <c r="J14" s="4"/>
      <c r="K14" s="4"/>
      <c r="L14" s="4"/>
      <c r="M14" s="4"/>
    </row>
    <row r="15" spans="1:13">
      <c r="A15">
        <v>14</v>
      </c>
      <c r="B15">
        <v>40</v>
      </c>
      <c r="C15">
        <v>75</v>
      </c>
      <c r="I15" s="4"/>
      <c r="J15" s="4"/>
      <c r="K15" s="4"/>
      <c r="L15" s="4"/>
      <c r="M15" s="4"/>
    </row>
    <row r="16" spans="1:13">
      <c r="A16">
        <v>15</v>
      </c>
      <c r="B16">
        <v>40</v>
      </c>
      <c r="C16">
        <v>60</v>
      </c>
      <c r="I16" s="4"/>
      <c r="J16" s="4"/>
      <c r="K16" s="4"/>
      <c r="L16" s="4"/>
      <c r="M16" s="4"/>
    </row>
    <row r="17" spans="1:13">
      <c r="A17">
        <v>16</v>
      </c>
      <c r="B17">
        <v>50</v>
      </c>
      <c r="C17">
        <v>50</v>
      </c>
      <c r="I17" s="4"/>
      <c r="J17" s="4"/>
      <c r="K17" s="4"/>
      <c r="L17" s="4"/>
      <c r="M17" s="4"/>
    </row>
    <row r="18" spans="1:13">
      <c r="A18">
        <v>17</v>
      </c>
      <c r="B18">
        <v>50</v>
      </c>
      <c r="C18">
        <v>65</v>
      </c>
      <c r="I18" s="4"/>
      <c r="J18" s="4"/>
      <c r="K18" s="4"/>
      <c r="L18" s="4"/>
      <c r="M18" s="4"/>
    </row>
    <row r="19" spans="1:13">
      <c r="A19">
        <v>18</v>
      </c>
      <c r="B19">
        <v>55</v>
      </c>
      <c r="C19">
        <v>65</v>
      </c>
      <c r="I19" s="4"/>
      <c r="J19" s="4"/>
      <c r="K19" s="4"/>
      <c r="L19" s="4"/>
      <c r="M19" s="4"/>
    </row>
    <row r="20" spans="1:13">
      <c r="A20">
        <v>19</v>
      </c>
      <c r="B20">
        <v>45</v>
      </c>
      <c r="C20">
        <v>65</v>
      </c>
      <c r="I20" s="4"/>
      <c r="J20" s="4"/>
      <c r="K20" s="4"/>
      <c r="L20" s="4"/>
      <c r="M20" s="4"/>
    </row>
    <row r="21" spans="1:13">
      <c r="A21">
        <v>20</v>
      </c>
      <c r="B21">
        <v>55</v>
      </c>
      <c r="C21">
        <v>75</v>
      </c>
      <c r="I21" s="4"/>
      <c r="J21" s="4"/>
      <c r="K21" s="4"/>
      <c r="L21" s="4"/>
      <c r="M21" s="4"/>
    </row>
    <row r="22" spans="1:13">
      <c r="A22">
        <v>21</v>
      </c>
      <c r="B22">
        <v>55</v>
      </c>
      <c r="C22">
        <v>70</v>
      </c>
      <c r="I22" s="4"/>
      <c r="J22" s="4"/>
      <c r="K22" s="4"/>
      <c r="L22" s="4"/>
      <c r="M22" s="4"/>
    </row>
    <row r="23" spans="1:13">
      <c r="A23">
        <v>22</v>
      </c>
      <c r="B23">
        <v>50</v>
      </c>
      <c r="C23">
        <v>60</v>
      </c>
      <c r="I23" s="4"/>
      <c r="J23" s="4"/>
      <c r="K23" s="4"/>
      <c r="L23" s="4"/>
      <c r="M23" s="4"/>
    </row>
    <row r="24" spans="1:13">
      <c r="A24">
        <v>23</v>
      </c>
      <c r="B24">
        <v>45</v>
      </c>
      <c r="C24">
        <v>65</v>
      </c>
      <c r="I24" s="4"/>
      <c r="J24" s="4"/>
      <c r="K24" s="4"/>
      <c r="L24" s="4"/>
      <c r="M24" s="4"/>
    </row>
    <row r="25" spans="1:13">
      <c r="A25">
        <v>24</v>
      </c>
      <c r="B25">
        <v>45</v>
      </c>
      <c r="C25">
        <v>62</v>
      </c>
      <c r="I25" s="4"/>
      <c r="J25" s="4"/>
      <c r="K25" s="4"/>
      <c r="L25" s="4"/>
      <c r="M25" s="4"/>
    </row>
    <row r="26" spans="1:13">
      <c r="A26">
        <v>25</v>
      </c>
      <c r="B26">
        <v>50</v>
      </c>
      <c r="C26">
        <v>60</v>
      </c>
      <c r="I26" s="4"/>
      <c r="J26" s="4"/>
      <c r="K26" s="4"/>
      <c r="L26" s="4"/>
      <c r="M26" s="4"/>
    </row>
    <row r="27" spans="1:13">
      <c r="A27">
        <v>26</v>
      </c>
      <c r="B27">
        <v>10</v>
      </c>
      <c r="C27">
        <v>40</v>
      </c>
      <c r="I27" s="4"/>
      <c r="J27" s="4"/>
      <c r="K27" s="4"/>
      <c r="L27" s="4"/>
      <c r="M27" s="4"/>
    </row>
    <row r="28" spans="1:13">
      <c r="A28">
        <v>27</v>
      </c>
      <c r="B28">
        <v>25</v>
      </c>
      <c r="C28">
        <v>55</v>
      </c>
      <c r="I28" s="4"/>
      <c r="J28" s="4"/>
      <c r="K28" s="4"/>
      <c r="L28" s="4"/>
      <c r="M28" s="4"/>
    </row>
    <row r="29" spans="1:13">
      <c r="A29">
        <v>28</v>
      </c>
      <c r="B29">
        <v>25</v>
      </c>
      <c r="C29">
        <v>75</v>
      </c>
      <c r="I29" s="4"/>
      <c r="J29" s="4"/>
      <c r="K29" s="4"/>
      <c r="L29" s="4"/>
      <c r="M29" s="4"/>
    </row>
    <row r="30" spans="1:13">
      <c r="A30">
        <v>29</v>
      </c>
      <c r="B30">
        <v>55</v>
      </c>
      <c r="C30">
        <v>60</v>
      </c>
      <c r="I30" s="4"/>
      <c r="J30" s="4"/>
      <c r="K30" s="4"/>
      <c r="L30" s="4"/>
      <c r="M30" s="4"/>
    </row>
    <row r="31" spans="1:13">
      <c r="A31">
        <v>30</v>
      </c>
      <c r="B31">
        <v>55</v>
      </c>
      <c r="C31">
        <v>40</v>
      </c>
      <c r="I31" s="4"/>
      <c r="J31" s="4"/>
      <c r="K31" s="4"/>
      <c r="L31" s="4"/>
      <c r="M31" s="4"/>
    </row>
    <row r="32" spans="1:13">
      <c r="A32">
        <v>31</v>
      </c>
      <c r="B32">
        <v>40</v>
      </c>
      <c r="C32">
        <v>70</v>
      </c>
      <c r="I32" s="4"/>
      <c r="J32" s="4"/>
      <c r="K32" s="4"/>
      <c r="L32" s="4"/>
      <c r="M32" s="4"/>
    </row>
    <row r="33" spans="1:13">
      <c r="A33">
        <v>32</v>
      </c>
      <c r="B33">
        <v>50</v>
      </c>
      <c r="C33">
        <v>60</v>
      </c>
      <c r="D33" t="s">
        <v>11</v>
      </c>
      <c r="I33" s="4"/>
      <c r="J33" s="4"/>
      <c r="K33" s="4"/>
      <c r="L33" s="4"/>
      <c r="M33" s="4"/>
    </row>
    <row r="34" spans="1:13">
      <c r="B34">
        <f>MAX(B2:B33)</f>
        <v>55</v>
      </c>
      <c r="C34">
        <f>MAX(C2:C33)</f>
        <v>75</v>
      </c>
      <c r="D34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2026-03-02T11:56:33Z</dcterms:modified>
</cp:coreProperties>
</file>